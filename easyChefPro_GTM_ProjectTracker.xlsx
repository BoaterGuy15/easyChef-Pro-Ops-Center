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Tracker" sheetId="1" r:id="rId5"/>
    <sheet state="visible" name="Summary" sheetId="2" r:id="rId6"/>
  </sheets>
  <definedNames>
    <definedName hidden="1" localSheetId="0" name="_xlnm._FilterDatabase">'Task Tracker'!$A$1:$J$39</definedName>
  </definedNames>
  <calcPr/>
</workbook>
</file>

<file path=xl/sharedStrings.xml><?xml version="1.0" encoding="utf-8"?>
<sst xmlns="http://schemas.openxmlformats.org/spreadsheetml/2006/main" count="343" uniqueCount="171">
  <si>
    <t>Task ID</t>
  </si>
  <si>
    <t>Task Name</t>
  </si>
  <si>
    <t>Category</t>
  </si>
  <si>
    <t>Priority</t>
  </si>
  <si>
    <t>Status</t>
  </si>
  <si>
    <t>Owner</t>
  </si>
  <si>
    <t>Start Date</t>
  </si>
  <si>
    <t>ETA</t>
  </si>
  <si>
    <t>Dependencies</t>
  </si>
  <si>
    <t>Notes / Description</t>
  </si>
  <si>
    <t>T-001</t>
  </si>
  <si>
    <t>ICP Research</t>
  </si>
  <si>
    <t>Marketing Strategy</t>
  </si>
  <si>
    <t>High</t>
  </si>
  <si>
    <t>Started</t>
  </si>
  <si>
    <t>Adam</t>
  </si>
  <si>
    <t>Define ideal customer profile: demographics, psychographics, pain points</t>
  </si>
  <si>
    <t>T-002</t>
  </si>
  <si>
    <t>Competitive Analysis</t>
  </si>
  <si>
    <t>Map direct &amp; indirect competitors; feature/pricing/positioning matrix</t>
  </si>
  <si>
    <t>T-003</t>
  </si>
  <si>
    <t>Positioning Strategy</t>
  </si>
  <si>
    <t>T-001, T-002</t>
  </si>
  <si>
    <t>Craft market position statement; own-able whitespace</t>
  </si>
  <si>
    <t>T-004</t>
  </si>
  <si>
    <t>Differentiation</t>
  </si>
  <si>
    <t>Define key differentiators vs. alternatives</t>
  </si>
  <si>
    <t>T-005</t>
  </si>
  <si>
    <t>Brand Messaging Framework / Tagline</t>
  </si>
  <si>
    <t>Value prop, tone of voice, messaging pillars, tagline</t>
  </si>
  <si>
    <t>T-006</t>
  </si>
  <si>
    <t>Pricing</t>
  </si>
  <si>
    <t>Freemium vs. paid tiers; willingness-to-pay research</t>
  </si>
  <si>
    <t>T-007</t>
  </si>
  <si>
    <t>Behavioural Economics Analysis</t>
  </si>
  <si>
    <t>Medium</t>
  </si>
  <si>
    <t>Anchoring, loss aversion, social proof levers to embed in UX &amp; copy</t>
  </si>
  <si>
    <t>T-008</t>
  </si>
  <si>
    <t>Go-to-Market (GTM) Strategy</t>
  </si>
  <si>
    <t>T-003, T-006</t>
  </si>
  <si>
    <t>Master launch plan: channels, sequencing, budget allocation, KPIs</t>
  </si>
  <si>
    <t>T-009</t>
  </si>
  <si>
    <t>Customer Journey Mapping (Full-Funnel)</t>
  </si>
  <si>
    <t>T-001, T-003</t>
  </si>
  <si>
    <t>Awareness &gt; activation &gt; retention &gt; referral journey</t>
  </si>
  <si>
    <t>T-010</t>
  </si>
  <si>
    <t>Brand Guidelines &amp; Visual Identity</t>
  </si>
  <si>
    <t>Brand</t>
  </si>
  <si>
    <t>Not Started</t>
  </si>
  <si>
    <t>Logo, colour palette, typography, imagery style, icon system</t>
  </si>
  <si>
    <t>T-011</t>
  </si>
  <si>
    <t>Website Content (all pages)</t>
  </si>
  <si>
    <t>Content - Website</t>
  </si>
  <si>
    <t>T-005, T-010</t>
  </si>
  <si>
    <t>Homepage, features, pricing, about, blog index</t>
  </si>
  <si>
    <t>T-012</t>
  </si>
  <si>
    <t>Website Pre-Launch Content</t>
  </si>
  <si>
    <t>Mary</t>
  </si>
  <si>
    <t>Coming-soon page, waitlist CTA, teaser messaging</t>
  </si>
  <si>
    <t>T-013</t>
  </si>
  <si>
    <t>Video Demo / Explainer Content</t>
  </si>
  <si>
    <t>Adam +</t>
  </si>
  <si>
    <t>60-90s product demo for homepage and social ads</t>
  </si>
  <si>
    <t>T-014</t>
  </si>
  <si>
    <t>App Store Listing (ASO Copy)</t>
  </si>
  <si>
    <t>Hammad</t>
  </si>
  <si>
    <t>Title, subtitle, description, keywords; App Store &amp; Google Play</t>
  </si>
  <si>
    <t>T-015</t>
  </si>
  <si>
    <t>Blog / Content Strategy</t>
  </si>
  <si>
    <t>Mary + Adam</t>
  </si>
  <si>
    <t>Editorial calendar; SEO-led topics that build authority</t>
  </si>
  <si>
    <t>T-016</t>
  </si>
  <si>
    <t>PR / Press Outreach Strategy</t>
  </si>
  <si>
    <t>Target media list, story angles, press kit</t>
  </si>
  <si>
    <t>T-017</t>
  </si>
  <si>
    <t>Search Engine Optimization (SEO)</t>
  </si>
  <si>
    <t>Digital Marketing</t>
  </si>
  <si>
    <t>On-page, technical SEO, backlink strategy</t>
  </si>
  <si>
    <t>T-018</t>
  </si>
  <si>
    <t>Paid Search (SEM / Google Ads)</t>
  </si>
  <si>
    <t xml:space="preserve">Adam + </t>
  </si>
  <si>
    <t>Keyword strategy, ad copy, landing pages, bidding</t>
  </si>
  <si>
    <t>T-019</t>
  </si>
  <si>
    <t>App Store Ads (Apple Search Ads / UAC)</t>
  </si>
  <si>
    <t>T-014, T-008</t>
  </si>
  <si>
    <t>ASA and Google UAC campaign setup</t>
  </si>
  <si>
    <t>T-020</t>
  </si>
  <si>
    <t>Influencer Marketing</t>
  </si>
  <si>
    <t>JR</t>
  </si>
  <si>
    <t>T-008, T-010</t>
  </si>
  <si>
    <t>Identify micro/macro food creators; brief and contract</t>
  </si>
  <si>
    <t>T-021</t>
  </si>
  <si>
    <t>Retargeting Campaign Setup</t>
  </si>
  <si>
    <t>Pixel setup, audience lists, retargeting ad creative briefs</t>
  </si>
  <si>
    <t>T-022</t>
  </si>
  <si>
    <t>Social Media Campaign Design</t>
  </si>
  <si>
    <t>Social Media Marketing</t>
  </si>
  <si>
    <t>Platform strategy (IG, TikTok, Pinterest); content calendar</t>
  </si>
  <si>
    <t>T-023</t>
  </si>
  <si>
    <t>Advertising Budget &amp; User Journey Mapping</t>
  </si>
  <si>
    <t>Taylor + Steve + Adam</t>
  </si>
  <si>
    <t>T-008, T-009</t>
  </si>
  <si>
    <t>Paid social budget split; map ad touchpoints to funnel stages</t>
  </si>
  <si>
    <t>T-024</t>
  </si>
  <si>
    <t>Social Media Creatives</t>
  </si>
  <si>
    <t>T-010, T-022</t>
  </si>
  <si>
    <t>Static, carousel, Reel/TikTok creative assets</t>
  </si>
  <si>
    <t>T-025</t>
  </si>
  <si>
    <t>Email Marketing Campaign</t>
  </si>
  <si>
    <t>Email Marketing</t>
  </si>
  <si>
    <t>JR + Mary</t>
  </si>
  <si>
    <t>Broadcast campaigns: promos, feature announcements, newsletters</t>
  </si>
  <si>
    <t>T-026</t>
  </si>
  <si>
    <t>Onboarding Email Sequence</t>
  </si>
  <si>
    <t>T-009, T-025</t>
  </si>
  <si>
    <t>Welcome &gt; activation drip (Day 0-14); drive first recipe use</t>
  </si>
  <si>
    <t>T-027</t>
  </si>
  <si>
    <t>Product-Led Onboarding</t>
  </si>
  <si>
    <t>Product Marketing</t>
  </si>
  <si>
    <t>Adam + Hammad + Taylor + Steve</t>
  </si>
  <si>
    <t>In-app onboarding flows that drive time-to-value</t>
  </si>
  <si>
    <t>T-028</t>
  </si>
  <si>
    <t>User Story Cards</t>
  </si>
  <si>
    <t>Backlog of user stories prioritised for launch sprint</t>
  </si>
  <si>
    <t>T-029</t>
  </si>
  <si>
    <t>Cold Start Tactics</t>
  </si>
  <si>
    <t>Bootstrapping initial users: communities, waitlist, beta program</t>
  </si>
  <si>
    <t>T-030</t>
  </si>
  <si>
    <t>Referral Program Design</t>
  </si>
  <si>
    <t>Incentive structure, referral mechanics, tracking</t>
  </si>
  <si>
    <t>T-031</t>
  </si>
  <si>
    <t>In-App Notification Strategy</t>
  </si>
  <si>
    <t>Hammad + Adam</t>
  </si>
  <si>
    <t>Push / in-app messages to drive retention and feature discovery</t>
  </si>
  <si>
    <t>T-032</t>
  </si>
  <si>
    <t>Feature Launch Announcement Strategy</t>
  </si>
  <si>
    <t>All</t>
  </si>
  <si>
    <t>Template and process for communicating new features post-launch</t>
  </si>
  <si>
    <t>T-033</t>
  </si>
  <si>
    <t>A/B Testing Framework Setup</t>
  </si>
  <si>
    <t>Data Science</t>
  </si>
  <si>
    <t>Define test methodology, tooling, statistical significance thresholds</t>
  </si>
  <si>
    <t>T-034</t>
  </si>
  <si>
    <t>Funnel Analysis &amp; Conversion Tracking</t>
  </si>
  <si>
    <t>Event tracking; map funnel from install to paid; identify drop-offs</t>
  </si>
  <si>
    <t>T-035</t>
  </si>
  <si>
    <t>App Analytics</t>
  </si>
  <si>
    <t>DAU/MAU, retention curves, feature engagement; dashboard setup</t>
  </si>
  <si>
    <t>T-036</t>
  </si>
  <si>
    <t>Website Analytics</t>
  </si>
  <si>
    <t>GA4 / Mixpanel setup; goals, events, attribution model</t>
  </si>
  <si>
    <t>T-037</t>
  </si>
  <si>
    <t>Retention &amp; Churn Analysis Framework</t>
  </si>
  <si>
    <t>Cohort retention analysis; churn signals; lifecycle segmentation</t>
  </si>
  <si>
    <t>T-038</t>
  </si>
  <si>
    <t>Food Creator / Influencer Partnership Program</t>
  </si>
  <si>
    <t>Partnerships</t>
  </si>
  <si>
    <t>TBD</t>
  </si>
  <si>
    <t>Long-term ambassador tiers, content obligations, compensation model</t>
  </si>
  <si>
    <t>Tasks by Category</t>
  </si>
  <si>
    <t>Total Tasks</t>
  </si>
  <si>
    <t>% of Backlog</t>
  </si>
  <si>
    <t>Legend</t>
  </si>
  <si>
    <t xml:space="preserve"> </t>
  </si>
  <si>
    <t>Status Key</t>
  </si>
  <si>
    <t>In Progress</t>
  </si>
  <si>
    <t>In Review</t>
  </si>
  <si>
    <t>Completed</t>
  </si>
  <si>
    <t>Blocked</t>
  </si>
  <si>
    <t>Priority Key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</si>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</sst>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b/>
      <sz val="10.0"/>
      <color rgb="FF555555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b/>
      <sz val="12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5F5F7"/>
        <bgColor rgb="FFF5F5F7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4CCFF"/>
        <bgColor rgb="FFF4CCFF"/>
      </patternFill>
    </fill>
    <fill>
      <patternFill patternType="solid">
        <fgColor rgb="FFD0F0C0"/>
        <bgColor rgb="FFD0F0C0"/>
      </patternFill>
    </fill>
    <fill>
      <patternFill patternType="solid">
        <fgColor rgb="FFFFDCA8"/>
        <bgColor rgb="FFFFDCA8"/>
      </patternFill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</fills>
  <borders count="8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1" fillId="5" fontId="4" numFmtId="0" xfId="0" applyAlignment="1" applyBorder="1" applyFill="1" applyFont="1">
      <alignment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ont="1">
      <alignment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13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14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1" fillId="15" fontId="8" numFmtId="0" xfId="0" applyAlignment="1" applyBorder="1" applyFill="1" applyFont="1">
      <alignment horizontal="center" vertical="center"/>
    </xf>
    <xf borderId="1" fillId="8" fontId="9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1" fillId="8" fontId="10" numFmtId="0" xfId="0" applyBorder="1" applyFont="1"/>
    <xf borderId="1" fillId="9" fontId="9" numFmtId="0" xfId="0" applyAlignment="1" applyBorder="1" applyFont="1">
      <alignment vertical="center"/>
    </xf>
    <xf borderId="1" fillId="9" fontId="10" numFmtId="0" xfId="0" applyBorder="1" applyFont="1"/>
    <xf borderId="1" fillId="12" fontId="9" numFmtId="0" xfId="0" applyAlignment="1" applyBorder="1" applyFont="1">
      <alignment vertical="center"/>
    </xf>
    <xf borderId="1" fillId="12" fontId="10" numFmtId="0" xfId="0" applyBorder="1" applyFont="1"/>
    <xf borderId="1" fillId="4" fontId="9" numFmtId="0" xfId="0" applyAlignment="1" applyBorder="1" applyFont="1">
      <alignment vertical="center"/>
    </xf>
    <xf borderId="1" fillId="4" fontId="10" numFmtId="0" xfId="0" applyBorder="1" applyFont="1"/>
    <xf borderId="1" fillId="11" fontId="9" numFmtId="0" xfId="0" applyAlignment="1" applyBorder="1" applyFont="1">
      <alignment vertical="center"/>
    </xf>
    <xf borderId="1" fillId="11" fontId="10" numFmtId="0" xfId="0" applyBorder="1" applyFont="1"/>
    <xf borderId="1" fillId="3" fontId="9" numFmtId="0" xfId="0" applyAlignment="1" applyBorder="1" applyFont="1">
      <alignment vertical="center"/>
    </xf>
    <xf borderId="1" fillId="3" fontId="10" numFmtId="0" xfId="0" applyBorder="1" applyFont="1"/>
    <xf borderId="1" fillId="13" fontId="9" numFmtId="0" xfId="0" applyAlignment="1" applyBorder="1" applyFont="1">
      <alignment vertical="center"/>
    </xf>
    <xf borderId="1" fillId="13" fontId="10" numFmtId="0" xfId="0" applyBorder="1" applyFont="1"/>
    <xf borderId="1" fillId="7" fontId="9" numFmtId="0" xfId="0" applyAlignment="1" applyBorder="1" applyFont="1">
      <alignment vertical="center"/>
    </xf>
    <xf borderId="1" fillId="7" fontId="10" numFmtId="0" xfId="0" applyBorder="1" applyFont="1"/>
    <xf borderId="1" fillId="10" fontId="9" numFmtId="0" xfId="0" applyAlignment="1" applyBorder="1" applyFont="1">
      <alignment vertical="center"/>
    </xf>
    <xf borderId="1" fillId="10" fontId="10" numFmtId="0" xfId="0" applyBorder="1" applyFont="1"/>
    <xf borderId="5" fillId="15" fontId="11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1" fillId="5" fontId="4" numFmtId="0" xfId="0" applyAlignment="1" applyBorder="1" applyFont="1">
      <alignment vertical="center"/>
    </xf>
    <xf borderId="1" fillId="7" fontId="4" numFmtId="0" xfId="0" applyAlignment="1" applyBorder="1" applyFont="1">
      <alignment vertical="center"/>
    </xf>
    <xf borderId="1" fillId="9" fontId="4" numFmtId="0" xfId="0" applyAlignment="1" applyBorder="1" applyFont="1">
      <alignment vertical="center"/>
    </xf>
    <xf borderId="1" fillId="10" fontId="4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2" fillId="15" fontId="11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9" displayName="Table1" name="Table1" id="1">
  <autoFilter ref="$A$1:$J$39"/>
  <tableColumns count="10">
    <tableColumn name="Task ID" id="1"/>
    <tableColumn name="Task Name" id="2"/>
    <tableColumn name="Category" id="3"/>
    <tableColumn name="Priority" id="4"/>
    <tableColumn name="Status" id="5"/>
    <tableColumn name="Owner" id="6"/>
    <tableColumn name="Start Date" id="7"/>
    <tableColumn name="ETA" id="8"/>
    <tableColumn name="Dependencies" id="9"/>
    <tableColumn name="Notes / Description" id="10"/>
  </tableColumns>
  <tableStyleInfo name="Task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40.0"/>
    <col customWidth="1" min="3" max="3" width="23.57"/>
    <col customWidth="1" min="4" max="4" width="17.29"/>
    <col customWidth="1" min="5" max="5" width="16.43"/>
    <col customWidth="1" min="6" max="6" width="18.86"/>
    <col customWidth="1" min="7" max="7" width="11.0"/>
    <col customWidth="1" min="8" max="8" width="10.29"/>
    <col customWidth="1" min="9" max="9" width="20.43"/>
    <col customWidth="1" min="10" max="10" width="64.29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10</v>
      </c>
      <c r="B2" s="4" t="s">
        <v>11</v>
      </c>
      <c r="C2" s="5" t="s">
        <v>12</v>
      </c>
      <c r="D2" s="6" t="s">
        <v>13</v>
      </c>
      <c r="E2" s="7" t="s">
        <v>14</v>
      </c>
      <c r="F2" s="8" t="s">
        <v>15</v>
      </c>
      <c r="G2" s="9"/>
      <c r="H2" s="9"/>
      <c r="I2" s="9"/>
      <c r="J2" s="4" t="s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10" t="s">
        <v>17</v>
      </c>
      <c r="B3" s="11" t="s">
        <v>18</v>
      </c>
      <c r="C3" s="5" t="s">
        <v>12</v>
      </c>
      <c r="D3" s="6" t="s">
        <v>13</v>
      </c>
      <c r="E3" s="7" t="s">
        <v>14</v>
      </c>
      <c r="F3" s="8" t="s">
        <v>15</v>
      </c>
      <c r="G3" s="12"/>
      <c r="H3" s="12"/>
      <c r="I3" s="12"/>
      <c r="J3" s="11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3" t="s">
        <v>20</v>
      </c>
      <c r="B4" s="4" t="s">
        <v>21</v>
      </c>
      <c r="C4" s="5" t="s">
        <v>12</v>
      </c>
      <c r="D4" s="6" t="s">
        <v>13</v>
      </c>
      <c r="E4" s="7" t="s">
        <v>14</v>
      </c>
      <c r="F4" s="8" t="s">
        <v>15</v>
      </c>
      <c r="G4" s="9"/>
      <c r="H4" s="9"/>
      <c r="I4" s="9" t="s">
        <v>22</v>
      </c>
      <c r="J4" s="4" t="s">
        <v>23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75" customHeight="1">
      <c r="A5" s="10" t="s">
        <v>24</v>
      </c>
      <c r="B5" s="11" t="s">
        <v>25</v>
      </c>
      <c r="C5" s="5" t="s">
        <v>12</v>
      </c>
      <c r="D5" s="6" t="s">
        <v>13</v>
      </c>
      <c r="E5" s="7" t="s">
        <v>14</v>
      </c>
      <c r="F5" s="8" t="s">
        <v>15</v>
      </c>
      <c r="G5" s="12"/>
      <c r="H5" s="12"/>
      <c r="I5" s="12" t="s">
        <v>20</v>
      </c>
      <c r="J5" s="11" t="s">
        <v>26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 t="s">
        <v>27</v>
      </c>
      <c r="B6" s="4" t="s">
        <v>28</v>
      </c>
      <c r="C6" s="5" t="s">
        <v>12</v>
      </c>
      <c r="D6" s="6" t="s">
        <v>13</v>
      </c>
      <c r="E6" s="7" t="s">
        <v>14</v>
      </c>
      <c r="F6" s="8" t="s">
        <v>15</v>
      </c>
      <c r="G6" s="9"/>
      <c r="H6" s="9"/>
      <c r="I6" s="9" t="s">
        <v>20</v>
      </c>
      <c r="J6" s="4" t="s">
        <v>29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0" t="s">
        <v>30</v>
      </c>
      <c r="B7" s="11" t="s">
        <v>31</v>
      </c>
      <c r="C7" s="5" t="s">
        <v>12</v>
      </c>
      <c r="D7" s="6" t="s">
        <v>13</v>
      </c>
      <c r="E7" s="7" t="s">
        <v>14</v>
      </c>
      <c r="F7" s="8" t="s">
        <v>15</v>
      </c>
      <c r="G7" s="12"/>
      <c r="H7" s="12"/>
      <c r="I7" s="12" t="s">
        <v>22</v>
      </c>
      <c r="J7" s="11" t="s">
        <v>32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3" t="s">
        <v>33</v>
      </c>
      <c r="B8" s="4" t="s">
        <v>34</v>
      </c>
      <c r="C8" s="5" t="s">
        <v>12</v>
      </c>
      <c r="D8" s="13" t="s">
        <v>35</v>
      </c>
      <c r="E8" s="7" t="s">
        <v>14</v>
      </c>
      <c r="F8" s="8" t="s">
        <v>15</v>
      </c>
      <c r="G8" s="9"/>
      <c r="H8" s="9"/>
      <c r="I8" s="9" t="s">
        <v>10</v>
      </c>
      <c r="J8" s="4" t="s">
        <v>36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10" t="s">
        <v>37</v>
      </c>
      <c r="B9" s="11" t="s">
        <v>38</v>
      </c>
      <c r="C9" s="5" t="s">
        <v>12</v>
      </c>
      <c r="D9" s="6" t="s">
        <v>13</v>
      </c>
      <c r="E9" s="7" t="s">
        <v>14</v>
      </c>
      <c r="F9" s="8" t="s">
        <v>15</v>
      </c>
      <c r="G9" s="12"/>
      <c r="H9" s="12"/>
      <c r="I9" s="12" t="s">
        <v>39</v>
      </c>
      <c r="J9" s="11" t="s">
        <v>40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3" t="s">
        <v>41</v>
      </c>
      <c r="B10" s="4" t="s">
        <v>42</v>
      </c>
      <c r="C10" s="5" t="s">
        <v>12</v>
      </c>
      <c r="D10" s="6" t="s">
        <v>13</v>
      </c>
      <c r="E10" s="7" t="s">
        <v>14</v>
      </c>
      <c r="F10" s="8" t="s">
        <v>15</v>
      </c>
      <c r="G10" s="9"/>
      <c r="H10" s="9"/>
      <c r="I10" s="9" t="s">
        <v>43</v>
      </c>
      <c r="J10" s="4" t="s">
        <v>44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0" t="s">
        <v>45</v>
      </c>
      <c r="B11" s="11" t="s">
        <v>46</v>
      </c>
      <c r="C11" s="14" t="s">
        <v>47</v>
      </c>
      <c r="D11" s="6" t="s">
        <v>13</v>
      </c>
      <c r="E11" s="15" t="s">
        <v>48</v>
      </c>
      <c r="F11" s="8" t="s">
        <v>15</v>
      </c>
      <c r="G11" s="12"/>
      <c r="H11" s="12"/>
      <c r="I11" s="12" t="s">
        <v>27</v>
      </c>
      <c r="J11" s="11" t="s">
        <v>49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3" t="s">
        <v>50</v>
      </c>
      <c r="B12" s="4" t="s">
        <v>51</v>
      </c>
      <c r="C12" s="16" t="s">
        <v>52</v>
      </c>
      <c r="D12" s="6" t="s">
        <v>13</v>
      </c>
      <c r="E12" s="15" t="s">
        <v>48</v>
      </c>
      <c r="F12" s="8" t="s">
        <v>15</v>
      </c>
      <c r="G12" s="9"/>
      <c r="H12" s="9"/>
      <c r="I12" s="9" t="s">
        <v>53</v>
      </c>
      <c r="J12" s="4" t="s">
        <v>54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0" t="s">
        <v>55</v>
      </c>
      <c r="B13" s="11" t="s">
        <v>56</v>
      </c>
      <c r="C13" s="16" t="s">
        <v>52</v>
      </c>
      <c r="D13" s="6" t="s">
        <v>13</v>
      </c>
      <c r="E13" s="7" t="s">
        <v>14</v>
      </c>
      <c r="F13" s="17" t="s">
        <v>57</v>
      </c>
      <c r="G13" s="12"/>
      <c r="H13" s="12"/>
      <c r="I13" s="12" t="s">
        <v>50</v>
      </c>
      <c r="J13" s="11" t="s">
        <v>58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3" t="s">
        <v>59</v>
      </c>
      <c r="B14" s="4" t="s">
        <v>60</v>
      </c>
      <c r="C14" s="16" t="s">
        <v>52</v>
      </c>
      <c r="D14" s="6" t="s">
        <v>13</v>
      </c>
      <c r="E14" s="15" t="s">
        <v>48</v>
      </c>
      <c r="F14" s="8" t="s">
        <v>61</v>
      </c>
      <c r="G14" s="9"/>
      <c r="H14" s="9"/>
      <c r="I14" s="9" t="s">
        <v>53</v>
      </c>
      <c r="J14" s="4" t="s">
        <v>62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0" t="s">
        <v>63</v>
      </c>
      <c r="B15" s="11" t="s">
        <v>64</v>
      </c>
      <c r="C15" s="16" t="s">
        <v>52</v>
      </c>
      <c r="D15" s="6" t="s">
        <v>13</v>
      </c>
      <c r="E15" s="15" t="s">
        <v>48</v>
      </c>
      <c r="F15" s="17" t="s">
        <v>65</v>
      </c>
      <c r="G15" s="12"/>
      <c r="H15" s="12"/>
      <c r="I15" s="12" t="s">
        <v>27</v>
      </c>
      <c r="J15" s="11" t="s">
        <v>66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67</v>
      </c>
      <c r="B16" s="4" t="s">
        <v>68</v>
      </c>
      <c r="C16" s="16" t="s">
        <v>52</v>
      </c>
      <c r="D16" s="13" t="s">
        <v>35</v>
      </c>
      <c r="E16" s="15" t="s">
        <v>48</v>
      </c>
      <c r="F16" s="8" t="s">
        <v>69</v>
      </c>
      <c r="G16" s="9"/>
      <c r="H16" s="9"/>
      <c r="I16" s="9" t="s">
        <v>20</v>
      </c>
      <c r="J16" s="4" t="s">
        <v>70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10" t="s">
        <v>71</v>
      </c>
      <c r="B17" s="11" t="s">
        <v>72</v>
      </c>
      <c r="C17" s="16" t="s">
        <v>52</v>
      </c>
      <c r="D17" s="13" t="s">
        <v>35</v>
      </c>
      <c r="E17" s="15" t="s">
        <v>48</v>
      </c>
      <c r="F17" s="8" t="s">
        <v>69</v>
      </c>
      <c r="G17" s="12"/>
      <c r="H17" s="12"/>
      <c r="I17" s="12" t="s">
        <v>37</v>
      </c>
      <c r="J17" s="11" t="s">
        <v>73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3" t="s">
        <v>74</v>
      </c>
      <c r="B18" s="4" t="s">
        <v>75</v>
      </c>
      <c r="C18" s="18" t="s">
        <v>76</v>
      </c>
      <c r="D18" s="6" t="s">
        <v>13</v>
      </c>
      <c r="E18" s="15" t="s">
        <v>48</v>
      </c>
      <c r="F18" s="8" t="s">
        <v>15</v>
      </c>
      <c r="G18" s="9"/>
      <c r="H18" s="9"/>
      <c r="I18" s="9" t="s">
        <v>50</v>
      </c>
      <c r="J18" s="4" t="s">
        <v>77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0" t="s">
        <v>78</v>
      </c>
      <c r="B19" s="11" t="s">
        <v>79</v>
      </c>
      <c r="C19" s="18" t="s">
        <v>76</v>
      </c>
      <c r="D19" s="6" t="s">
        <v>13</v>
      </c>
      <c r="E19" s="15" t="s">
        <v>48</v>
      </c>
      <c r="F19" s="17" t="s">
        <v>80</v>
      </c>
      <c r="G19" s="12"/>
      <c r="H19" s="12"/>
      <c r="I19" s="12" t="s">
        <v>37</v>
      </c>
      <c r="J19" s="11" t="s">
        <v>81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3" t="s">
        <v>82</v>
      </c>
      <c r="B20" s="4" t="s">
        <v>83</v>
      </c>
      <c r="C20" s="18" t="s">
        <v>76</v>
      </c>
      <c r="D20" s="6" t="s">
        <v>13</v>
      </c>
      <c r="E20" s="15" t="s">
        <v>48</v>
      </c>
      <c r="F20" s="8" t="s">
        <v>61</v>
      </c>
      <c r="G20" s="9"/>
      <c r="H20" s="9"/>
      <c r="I20" s="9" t="s">
        <v>84</v>
      </c>
      <c r="J20" s="4" t="s">
        <v>85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0" t="s">
        <v>86</v>
      </c>
      <c r="B21" s="11" t="s">
        <v>87</v>
      </c>
      <c r="C21" s="18" t="s">
        <v>76</v>
      </c>
      <c r="D21" s="13" t="s">
        <v>35</v>
      </c>
      <c r="E21" s="15" t="s">
        <v>48</v>
      </c>
      <c r="F21" s="17" t="s">
        <v>88</v>
      </c>
      <c r="G21" s="12"/>
      <c r="H21" s="12"/>
      <c r="I21" s="12" t="s">
        <v>89</v>
      </c>
      <c r="J21" s="11" t="s">
        <v>90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3" t="s">
        <v>91</v>
      </c>
      <c r="B22" s="4" t="s">
        <v>92</v>
      </c>
      <c r="C22" s="18" t="s">
        <v>76</v>
      </c>
      <c r="D22" s="6" t="s">
        <v>13</v>
      </c>
      <c r="E22" s="15" t="s">
        <v>48</v>
      </c>
      <c r="F22" s="8" t="s">
        <v>61</v>
      </c>
      <c r="G22" s="9"/>
      <c r="H22" s="9"/>
      <c r="I22" s="9" t="s">
        <v>78</v>
      </c>
      <c r="J22" s="4" t="s">
        <v>93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0" t="s">
        <v>94</v>
      </c>
      <c r="B23" s="11" t="s">
        <v>95</v>
      </c>
      <c r="C23" s="19" t="s">
        <v>96</v>
      </c>
      <c r="D23" s="6" t="s">
        <v>13</v>
      </c>
      <c r="E23" s="15" t="s">
        <v>48</v>
      </c>
      <c r="F23" s="17" t="s">
        <v>80</v>
      </c>
      <c r="G23" s="12"/>
      <c r="H23" s="12"/>
      <c r="I23" s="12" t="s">
        <v>89</v>
      </c>
      <c r="J23" s="11" t="s">
        <v>97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 t="s">
        <v>98</v>
      </c>
      <c r="B24" s="4" t="s">
        <v>99</v>
      </c>
      <c r="C24" s="19" t="s">
        <v>96</v>
      </c>
      <c r="D24" s="6" t="s">
        <v>13</v>
      </c>
      <c r="E24" s="15" t="s">
        <v>48</v>
      </c>
      <c r="F24" s="8" t="s">
        <v>100</v>
      </c>
      <c r="G24" s="9"/>
      <c r="H24" s="9"/>
      <c r="I24" s="9" t="s">
        <v>101</v>
      </c>
      <c r="J24" s="4" t="s">
        <v>102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10" t="s">
        <v>103</v>
      </c>
      <c r="B25" s="11" t="s">
        <v>104</v>
      </c>
      <c r="C25" s="19" t="s">
        <v>96</v>
      </c>
      <c r="D25" s="6" t="s">
        <v>13</v>
      </c>
      <c r="E25" s="15" t="s">
        <v>48</v>
      </c>
      <c r="F25" s="17" t="s">
        <v>61</v>
      </c>
      <c r="G25" s="12"/>
      <c r="H25" s="12"/>
      <c r="I25" s="12" t="s">
        <v>105</v>
      </c>
      <c r="J25" s="11" t="s">
        <v>106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3" t="s">
        <v>107</v>
      </c>
      <c r="B26" s="4" t="s">
        <v>108</v>
      </c>
      <c r="C26" s="20" t="s">
        <v>109</v>
      </c>
      <c r="D26" s="6" t="s">
        <v>13</v>
      </c>
      <c r="E26" s="15" t="s">
        <v>48</v>
      </c>
      <c r="F26" s="8" t="s">
        <v>110</v>
      </c>
      <c r="G26" s="9"/>
      <c r="H26" s="9"/>
      <c r="I26" s="9" t="s">
        <v>37</v>
      </c>
      <c r="J26" s="4" t="s">
        <v>111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10" t="s">
        <v>112</v>
      </c>
      <c r="B27" s="11" t="s">
        <v>113</v>
      </c>
      <c r="C27" s="20" t="s">
        <v>109</v>
      </c>
      <c r="D27" s="6" t="s">
        <v>13</v>
      </c>
      <c r="E27" s="15" t="s">
        <v>48</v>
      </c>
      <c r="F27" s="17" t="s">
        <v>88</v>
      </c>
      <c r="G27" s="12"/>
      <c r="H27" s="12"/>
      <c r="I27" s="12" t="s">
        <v>114</v>
      </c>
      <c r="J27" s="11" t="s">
        <v>115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 t="s">
        <v>116</v>
      </c>
      <c r="B28" s="4" t="s">
        <v>117</v>
      </c>
      <c r="C28" s="21" t="s">
        <v>118</v>
      </c>
      <c r="D28" s="6" t="s">
        <v>13</v>
      </c>
      <c r="E28" s="7" t="s">
        <v>14</v>
      </c>
      <c r="F28" s="8" t="s">
        <v>119</v>
      </c>
      <c r="G28" s="9"/>
      <c r="H28" s="9"/>
      <c r="I28" s="9" t="s">
        <v>41</v>
      </c>
      <c r="J28" s="4" t="s">
        <v>120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10" t="s">
        <v>121</v>
      </c>
      <c r="B29" s="11" t="s">
        <v>122</v>
      </c>
      <c r="C29" s="21" t="s">
        <v>118</v>
      </c>
      <c r="D29" s="6" t="s">
        <v>13</v>
      </c>
      <c r="E29" s="7" t="s">
        <v>14</v>
      </c>
      <c r="F29" s="17" t="s">
        <v>15</v>
      </c>
      <c r="G29" s="12"/>
      <c r="H29" s="12"/>
      <c r="I29" s="12" t="s">
        <v>10</v>
      </c>
      <c r="J29" s="11" t="s">
        <v>123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3" t="s">
        <v>124</v>
      </c>
      <c r="B30" s="4" t="s">
        <v>125</v>
      </c>
      <c r="C30" s="21" t="s">
        <v>118</v>
      </c>
      <c r="D30" s="6" t="s">
        <v>13</v>
      </c>
      <c r="E30" s="7" t="s">
        <v>14</v>
      </c>
      <c r="F30" s="17" t="s">
        <v>15</v>
      </c>
      <c r="G30" s="9"/>
      <c r="H30" s="9"/>
      <c r="I30" s="9" t="s">
        <v>37</v>
      </c>
      <c r="J30" s="4" t="s">
        <v>126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0" t="s">
        <v>127</v>
      </c>
      <c r="B31" s="11" t="s">
        <v>128</v>
      </c>
      <c r="C31" s="21" t="s">
        <v>118</v>
      </c>
      <c r="D31" s="6" t="s">
        <v>13</v>
      </c>
      <c r="E31" s="15" t="s">
        <v>48</v>
      </c>
      <c r="F31" s="17" t="s">
        <v>88</v>
      </c>
      <c r="G31" s="12"/>
      <c r="H31" s="12"/>
      <c r="I31" s="12" t="s">
        <v>124</v>
      </c>
      <c r="J31" s="11" t="s">
        <v>129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3" t="s">
        <v>130</v>
      </c>
      <c r="B32" s="4" t="s">
        <v>131</v>
      </c>
      <c r="C32" s="21" t="s">
        <v>118</v>
      </c>
      <c r="D32" s="13" t="s">
        <v>35</v>
      </c>
      <c r="E32" s="15" t="s">
        <v>48</v>
      </c>
      <c r="F32" s="8" t="s">
        <v>132</v>
      </c>
      <c r="G32" s="9"/>
      <c r="H32" s="9"/>
      <c r="I32" s="9" t="s">
        <v>116</v>
      </c>
      <c r="J32" s="4" t="s">
        <v>133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0" t="s">
        <v>134</v>
      </c>
      <c r="B33" s="11" t="s">
        <v>135</v>
      </c>
      <c r="C33" s="21" t="s">
        <v>118</v>
      </c>
      <c r="D33" s="13" t="s">
        <v>35</v>
      </c>
      <c r="E33" s="15" t="s">
        <v>48</v>
      </c>
      <c r="F33" s="17" t="s">
        <v>136</v>
      </c>
      <c r="G33" s="12"/>
      <c r="H33" s="12"/>
      <c r="I33" s="12" t="s">
        <v>27</v>
      </c>
      <c r="J33" s="11" t="s">
        <v>137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3" t="s">
        <v>138</v>
      </c>
      <c r="B34" s="4" t="s">
        <v>139</v>
      </c>
      <c r="C34" s="22" t="s">
        <v>140</v>
      </c>
      <c r="D34" s="6" t="s">
        <v>13</v>
      </c>
      <c r="E34" s="15" t="s">
        <v>48</v>
      </c>
      <c r="F34" s="8" t="s">
        <v>132</v>
      </c>
      <c r="G34" s="9"/>
      <c r="H34" s="9"/>
      <c r="I34" s="9"/>
      <c r="J34" s="4" t="s">
        <v>141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0" t="s">
        <v>142</v>
      </c>
      <c r="B35" s="11" t="s">
        <v>143</v>
      </c>
      <c r="C35" s="22" t="s">
        <v>140</v>
      </c>
      <c r="D35" s="6" t="s">
        <v>13</v>
      </c>
      <c r="E35" s="15" t="s">
        <v>48</v>
      </c>
      <c r="F35" s="8" t="s">
        <v>132</v>
      </c>
      <c r="G35" s="12"/>
      <c r="H35" s="12"/>
      <c r="I35" s="12" t="s">
        <v>116</v>
      </c>
      <c r="J35" s="11" t="s">
        <v>144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3" t="s">
        <v>145</v>
      </c>
      <c r="B36" s="4" t="s">
        <v>146</v>
      </c>
      <c r="C36" s="22" t="s">
        <v>140</v>
      </c>
      <c r="D36" s="6" t="s">
        <v>13</v>
      </c>
      <c r="E36" s="15" t="s">
        <v>48</v>
      </c>
      <c r="F36" s="8" t="s">
        <v>132</v>
      </c>
      <c r="G36" s="9"/>
      <c r="H36" s="9"/>
      <c r="I36" s="9" t="s">
        <v>142</v>
      </c>
      <c r="J36" s="4" t="s">
        <v>147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0" t="s">
        <v>148</v>
      </c>
      <c r="B37" s="11" t="s">
        <v>149</v>
      </c>
      <c r="C37" s="22" t="s">
        <v>140</v>
      </c>
      <c r="D37" s="6" t="s">
        <v>13</v>
      </c>
      <c r="E37" s="15" t="s">
        <v>48</v>
      </c>
      <c r="F37" s="8" t="s">
        <v>132</v>
      </c>
      <c r="G37" s="12"/>
      <c r="H37" s="12"/>
      <c r="I37" s="12"/>
      <c r="J37" s="11" t="s">
        <v>150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3" t="s">
        <v>151</v>
      </c>
      <c r="B38" s="4" t="s">
        <v>152</v>
      </c>
      <c r="C38" s="22" t="s">
        <v>140</v>
      </c>
      <c r="D38" s="13" t="s">
        <v>35</v>
      </c>
      <c r="E38" s="15" t="s">
        <v>48</v>
      </c>
      <c r="F38" s="8" t="s">
        <v>132</v>
      </c>
      <c r="G38" s="9"/>
      <c r="H38" s="9"/>
      <c r="I38" s="9" t="s">
        <v>145</v>
      </c>
      <c r="J38" s="4" t="s">
        <v>153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10" t="s">
        <v>154</v>
      </c>
      <c r="B39" s="11" t="s">
        <v>155</v>
      </c>
      <c r="C39" s="23" t="s">
        <v>156</v>
      </c>
      <c r="D39" s="13" t="s">
        <v>35</v>
      </c>
      <c r="E39" s="15" t="s">
        <v>48</v>
      </c>
      <c r="F39" s="17" t="s">
        <v>157</v>
      </c>
      <c r="G39" s="12"/>
      <c r="H39" s="12"/>
      <c r="I39" s="12" t="s">
        <v>86</v>
      </c>
      <c r="J39" s="11" t="s">
        <v>158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>
    <dataValidation type="list" allowBlank="1" sqref="E2:E39">
      <formula1>"Started,Not Started"</formula1>
    </dataValidation>
    <dataValidation type="list" allowBlank="1" sqref="D2:D39">
      <formula1>"High,Medium"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4" width="14.0"/>
    <col customWidth="1" min="5" max="26" width="8.71"/>
  </cols>
  <sheetData>
    <row r="1" ht="31.5" customHeight="1">
      <c r="A1" s="25" t="s">
        <v>159</v>
      </c>
      <c r="B1" s="26"/>
      <c r="C1" s="26"/>
      <c r="D1" s="27"/>
    </row>
    <row r="2" ht="25.5" customHeight="1">
      <c r="A2" s="28" t="s">
        <v>2</v>
      </c>
      <c r="B2" s="28" t="s">
        <v>160</v>
      </c>
      <c r="C2" s="28" t="s">
        <v>161</v>
      </c>
      <c r="D2" s="28" t="s">
        <v>162</v>
      </c>
    </row>
    <row r="3" ht="21.75" customHeight="1">
      <c r="A3" s="29" t="s">
        <v>47</v>
      </c>
      <c r="B3" s="30">
        <v>1.0</v>
      </c>
      <c r="C3" s="31" t="str">
        <f>B3/B12</f>
        <v>#DIV/0!</v>
      </c>
      <c r="D3" s="32" t="s">
        <v>163</v>
      </c>
    </row>
    <row r="4" ht="21.75" customHeight="1">
      <c r="A4" s="33" t="s">
        <v>52</v>
      </c>
      <c r="B4" s="30">
        <v>6.0</v>
      </c>
      <c r="C4" s="31" t="str">
        <f>B4/B12</f>
        <v>#DIV/0!</v>
      </c>
      <c r="D4" s="34" t="s">
        <v>163</v>
      </c>
    </row>
    <row r="5" ht="21.75" customHeight="1">
      <c r="A5" s="35" t="s">
        <v>140</v>
      </c>
      <c r="B5" s="30">
        <v>5.0</v>
      </c>
      <c r="C5" s="31" t="str">
        <f>B5/B12</f>
        <v>#DIV/0!</v>
      </c>
      <c r="D5" s="36" t="s">
        <v>163</v>
      </c>
    </row>
    <row r="6" ht="21.75" customHeight="1">
      <c r="A6" s="37" t="s">
        <v>76</v>
      </c>
      <c r="B6" s="30">
        <v>5.0</v>
      </c>
      <c r="C6" s="31" t="str">
        <f>B6/B12</f>
        <v>#DIV/0!</v>
      </c>
      <c r="D6" s="38" t="s">
        <v>163</v>
      </c>
    </row>
    <row r="7" ht="21.75" customHeight="1">
      <c r="A7" s="39" t="s">
        <v>109</v>
      </c>
      <c r="B7" s="30">
        <v>2.0</v>
      </c>
      <c r="C7" s="31" t="str">
        <f>B7/B12</f>
        <v>#DIV/0!</v>
      </c>
      <c r="D7" s="40" t="s">
        <v>163</v>
      </c>
    </row>
    <row r="8" ht="21.75" customHeight="1">
      <c r="A8" s="41" t="s">
        <v>12</v>
      </c>
      <c r="B8" s="30">
        <v>9.0</v>
      </c>
      <c r="C8" s="31" t="str">
        <f>B8/B12</f>
        <v>#DIV/0!</v>
      </c>
      <c r="D8" s="42" t="s">
        <v>163</v>
      </c>
    </row>
    <row r="9" ht="21.75" customHeight="1">
      <c r="A9" s="43" t="s">
        <v>156</v>
      </c>
      <c r="B9" s="30">
        <v>1.0</v>
      </c>
      <c r="C9" s="31" t="str">
        <f>B9/B12</f>
        <v>#DIV/0!</v>
      </c>
      <c r="D9" s="44" t="s">
        <v>163</v>
      </c>
    </row>
    <row r="10" ht="21.75" customHeight="1">
      <c r="A10" s="45" t="s">
        <v>118</v>
      </c>
      <c r="B10" s="30">
        <v>6.0</v>
      </c>
      <c r="C10" s="31" t="str">
        <f>B10/B12</f>
        <v>#DIV/0!</v>
      </c>
      <c r="D10" s="46" t="s">
        <v>163</v>
      </c>
    </row>
    <row r="11" ht="21.75" customHeight="1">
      <c r="A11" s="47" t="s">
        <v>96</v>
      </c>
      <c r="B11" s="30">
        <v>3.0</v>
      </c>
      <c r="C11" s="31" t="str">
        <f>B11/B12</f>
        <v>#DIV/0!</v>
      </c>
      <c r="D11" s="48" t="s">
        <v>163</v>
      </c>
    </row>
    <row r="12" ht="24.0" customHeight="1">
      <c r="A12" s="49" t="s">
        <v>164</v>
      </c>
      <c r="B12" s="50"/>
      <c r="C12" s="50"/>
      <c r="D12" s="51"/>
    </row>
    <row r="13" ht="19.5" customHeight="1">
      <c r="A13" s="52" t="s">
        <v>48</v>
      </c>
    </row>
    <row r="14" ht="19.5" customHeight="1">
      <c r="A14" s="53" t="s">
        <v>165</v>
      </c>
    </row>
    <row r="15" ht="19.5" customHeight="1">
      <c r="A15" s="54" t="s">
        <v>166</v>
      </c>
    </row>
    <row r="16" ht="19.5" customHeight="1">
      <c r="A16" s="55" t="s">
        <v>167</v>
      </c>
    </row>
    <row r="17" ht="19.5" customHeight="1">
      <c r="A17" s="56" t="s">
        <v>168</v>
      </c>
    </row>
    <row r="19" ht="24.0" customHeight="1">
      <c r="A19" s="57" t="s">
        <v>169</v>
      </c>
      <c r="B19" s="26"/>
      <c r="C19" s="26"/>
      <c r="D19" s="27"/>
    </row>
    <row r="20" ht="19.5" customHeight="1">
      <c r="A20" s="56" t="s">
        <v>13</v>
      </c>
    </row>
    <row r="21" ht="19.5" customHeight="1">
      <c r="A21" s="53" t="s">
        <v>35</v>
      </c>
    </row>
    <row r="22" ht="19.5" customHeight="1">
      <c r="A22" s="55" t="s">
        <v>170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12:D12"/>
    <mergeCell ref="A19:D19"/>
  </mergeCells>
  <printOptions/>
  <pageMargins bottom="1.0" footer="0.0" header="0.0" left="0.75" right="0.75" top="1.0"/>
  <pageSetup orientation="landscape"/>
  <drawing r:id="rId1"/>
</worksheet>
</file>